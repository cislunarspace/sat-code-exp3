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uyan\课程资料\2026春航天任务分析与设计\航天任务课程实验资料汇总\大作业3\Planning\data\"/>
    </mc:Choice>
  </mc:AlternateContent>
  <xr:revisionPtr revIDLastSave="0" documentId="13_ncr:1_{EEDA00BC-FFFF-41FD-965A-DCCE8CF78A3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C7" i="1"/>
  <c r="C6" i="1"/>
  <c r="C5" i="1"/>
  <c r="C3" i="1"/>
  <c r="C11" i="1"/>
  <c r="C4" i="1"/>
  <c r="C10" i="1"/>
  <c r="C2" i="1"/>
  <c r="C9" i="1"/>
  <c r="C8" i="1"/>
</calcChain>
</file>

<file path=xl/sharedStrings.xml><?xml version="1.0" encoding="utf-8"?>
<sst xmlns="http://schemas.openxmlformats.org/spreadsheetml/2006/main" count="5" uniqueCount="5">
  <si>
    <t>StartTime</t>
    <phoneticPr fontId="1" type="noConversion"/>
  </si>
  <si>
    <t>EndTime</t>
    <phoneticPr fontId="1" type="noConversion"/>
  </si>
  <si>
    <t>任务ID</t>
    <phoneticPr fontId="1" type="noConversion"/>
  </si>
  <si>
    <t>MinAngle</t>
    <phoneticPr fontId="1" type="noConversion"/>
  </si>
  <si>
    <t>MaxAngle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</si>
</sst>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75" zoomScaleNormal="175" workbookViewId="0">
      <selection sqref="A1:E1048576"/>
    </sheetView>
  </sheetViews>
  <sheetFormatPr defaultRowHeight="13.9" x14ac:dyDescent="0.4"/>
  <cols>
    <col min="1" max="1" width="6.73046875" bestFit="1" customWidth="1"/>
    <col min="2" max="2" width="8.9296875" bestFit="1" customWidth="1"/>
    <col min="3" max="3" width="8.265625" bestFit="1" customWidth="1"/>
    <col min="4" max="4" width="9" bestFit="1" customWidth="1"/>
    <col min="5" max="5" width="9.3984375" bestFit="1" customWidth="1"/>
  </cols>
  <sheetData>
    <row r="1" spans="1:5" x14ac:dyDescent="0.4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4">
      <c r="A2">
        <v>1</v>
      </c>
      <c r="B2">
        <v>58931</v>
      </c>
      <c r="C2">
        <f>B2+1200</f>
        <v>60131</v>
      </c>
      <c r="D2">
        <v>0</v>
      </c>
      <c r="E2">
        <v>23</v>
      </c>
    </row>
    <row r="3" spans="1:5" x14ac:dyDescent="0.4">
      <c r="A3">
        <v>2</v>
      </c>
      <c r="B3">
        <v>68401</v>
      </c>
      <c r="C3">
        <f>B3+40*60</f>
        <v>70801</v>
      </c>
      <c r="D3">
        <v>0</v>
      </c>
      <c r="E3">
        <v>23</v>
      </c>
    </row>
    <row r="4" spans="1:5" x14ac:dyDescent="0.4">
      <c r="A4">
        <v>3</v>
      </c>
      <c r="B4">
        <v>61330</v>
      </c>
      <c r="C4">
        <f>B4+51*60</f>
        <v>64390</v>
      </c>
      <c r="D4">
        <f>0</f>
        <v>0</v>
      </c>
      <c r="E4">
        <v>23</v>
      </c>
    </row>
    <row r="5" spans="1:5" x14ac:dyDescent="0.4">
      <c r="A5">
        <v>4</v>
      </c>
      <c r="B5">
        <v>68401</v>
      </c>
      <c r="C5">
        <f>B5+42*60</f>
        <v>70921</v>
      </c>
      <c r="D5">
        <v>2</v>
      </c>
      <c r="E5">
        <v>25</v>
      </c>
    </row>
    <row r="6" spans="1:5" x14ac:dyDescent="0.4">
      <c r="A6">
        <v>5</v>
      </c>
      <c r="B6">
        <v>68401</v>
      </c>
      <c r="C6">
        <f>B6+22*60</f>
        <v>69721</v>
      </c>
      <c r="D6">
        <v>16</v>
      </c>
      <c r="E6">
        <v>24</v>
      </c>
    </row>
    <row r="7" spans="1:5" x14ac:dyDescent="0.4">
      <c r="A7">
        <v>6</v>
      </c>
      <c r="B7">
        <v>53950</v>
      </c>
      <c r="C7">
        <f>B7+63*60</f>
        <v>57730</v>
      </c>
      <c r="D7">
        <v>0</v>
      </c>
      <c r="E7">
        <v>21</v>
      </c>
    </row>
    <row r="8" spans="1:5" x14ac:dyDescent="0.4">
      <c r="A8">
        <v>7</v>
      </c>
      <c r="B8">
        <v>53950</v>
      </c>
      <c r="C8">
        <f>B8+82*60</f>
        <v>58870</v>
      </c>
      <c r="D8">
        <v>0</v>
      </c>
      <c r="E8">
        <v>22</v>
      </c>
    </row>
    <row r="9" spans="1:5" x14ac:dyDescent="0.4">
      <c r="A9">
        <v>8</v>
      </c>
      <c r="B9">
        <v>53950</v>
      </c>
      <c r="C9">
        <f>B9+83*60</f>
        <v>58930</v>
      </c>
      <c r="D9">
        <v>2</v>
      </c>
      <c r="E9">
        <v>23</v>
      </c>
    </row>
    <row r="10" spans="1:5" x14ac:dyDescent="0.4">
      <c r="A10">
        <v>9</v>
      </c>
      <c r="B10">
        <v>61330</v>
      </c>
      <c r="C10">
        <f>B10+85*60</f>
        <v>66430</v>
      </c>
      <c r="D10">
        <v>2</v>
      </c>
      <c r="E10">
        <v>30</v>
      </c>
    </row>
    <row r="11" spans="1:5" x14ac:dyDescent="0.4">
      <c r="A11">
        <v>10</v>
      </c>
      <c r="B11">
        <v>66431</v>
      </c>
      <c r="C11">
        <f>B11+20*60</f>
        <v>67631</v>
      </c>
      <c r="D11">
        <v>0</v>
      </c>
      <c r="E11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宫贺</dc:creator>
  <cp:lastModifiedBy>嘉鸿 欧阳</cp:lastModifiedBy>
  <dcterms:created xsi:type="dcterms:W3CDTF">2015-06-05T18:19:34Z</dcterms:created>
  <dcterms:modified xsi:type="dcterms:W3CDTF">2026-05-18T09:43:30Z</dcterms:modified>
</cp:coreProperties>
</file>